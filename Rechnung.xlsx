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l-August Stendel\UNI\5. Semester\MAT\Pendel eigene logik\"/>
    </mc:Choice>
  </mc:AlternateContent>
  <xr:revisionPtr revIDLastSave="0" documentId="13_ncr:1_{68A0873F-3EFD-4844-B4B6-FFB8871A8773}" xr6:coauthVersionLast="47" xr6:coauthVersionMax="47" xr10:uidLastSave="{00000000-0000-0000-0000-000000000000}"/>
  <bookViews>
    <workbookView xWindow="-120" yWindow="-120" windowWidth="29040" windowHeight="15720" xr2:uid="{19C29F86-93F9-455D-8837-3EB55981A0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2" i="1"/>
  <c r="E2" i="1"/>
  <c r="D2" i="1"/>
  <c r="H2" i="1" l="1"/>
  <c r="G2" i="1"/>
  <c r="J2" i="1" s="1"/>
</calcChain>
</file>

<file path=xl/sharedStrings.xml><?xml version="1.0" encoding="utf-8"?>
<sst xmlns="http://schemas.openxmlformats.org/spreadsheetml/2006/main" count="9" uniqueCount="7">
  <si>
    <t>Periodenddauer</t>
  </si>
  <si>
    <t>Mittelwert</t>
  </si>
  <si>
    <t>Standartabw.</t>
  </si>
  <si>
    <t>g</t>
  </si>
  <si>
    <t>Naturkonstante</t>
  </si>
  <si>
    <t>Abw. &amp; zu g</t>
  </si>
  <si>
    <t>ln(T_0)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</si>
</sst>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Periodenddauer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Tabelle1!$A$2:$A$109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Tabelle1!$B$2:$B$109</c:f>
              <c:numCache>
                <c:formatCode>0.00000</c:formatCode>
                <c:ptCount val="108"/>
                <c:pt idx="0">
                  <c:v>2.7208299999999999</c:v>
                </c:pt>
                <c:pt idx="1">
                  <c:v>2.7166700000000001</c:v>
                </c:pt>
                <c:pt idx="2">
                  <c:v>2.7124999999999999</c:v>
                </c:pt>
                <c:pt idx="3">
                  <c:v>2.7124999999999999</c:v>
                </c:pt>
                <c:pt idx="4">
                  <c:v>2.7124999999999999</c:v>
                </c:pt>
                <c:pt idx="5">
                  <c:v>2.7124999999999999</c:v>
                </c:pt>
                <c:pt idx="6">
                  <c:v>2.7083300000000001</c:v>
                </c:pt>
                <c:pt idx="7">
                  <c:v>2.7124999999999999</c:v>
                </c:pt>
                <c:pt idx="8">
                  <c:v>2.7124999999999999</c:v>
                </c:pt>
                <c:pt idx="9">
                  <c:v>2.7124999999999999</c:v>
                </c:pt>
                <c:pt idx="10">
                  <c:v>2.7124999999999999</c:v>
                </c:pt>
                <c:pt idx="11">
                  <c:v>2.7083300000000001</c:v>
                </c:pt>
                <c:pt idx="12">
                  <c:v>2.70417</c:v>
                </c:pt>
                <c:pt idx="13">
                  <c:v>2.70417</c:v>
                </c:pt>
                <c:pt idx="14">
                  <c:v>2.70417</c:v>
                </c:pt>
                <c:pt idx="15">
                  <c:v>2.7083300000000001</c:v>
                </c:pt>
                <c:pt idx="16">
                  <c:v>2.7083300000000001</c:v>
                </c:pt>
                <c:pt idx="17">
                  <c:v>2.7</c:v>
                </c:pt>
                <c:pt idx="18">
                  <c:v>2.70417</c:v>
                </c:pt>
                <c:pt idx="19">
                  <c:v>2.70417</c:v>
                </c:pt>
                <c:pt idx="20">
                  <c:v>2.70417</c:v>
                </c:pt>
                <c:pt idx="21">
                  <c:v>2.7083300000000001</c:v>
                </c:pt>
                <c:pt idx="22">
                  <c:v>2.7124999999999999</c:v>
                </c:pt>
                <c:pt idx="23">
                  <c:v>2.7083300000000001</c:v>
                </c:pt>
                <c:pt idx="24">
                  <c:v>2.6958299999999999</c:v>
                </c:pt>
                <c:pt idx="25">
                  <c:v>2.7124999999999999</c:v>
                </c:pt>
                <c:pt idx="26">
                  <c:v>2.70417</c:v>
                </c:pt>
                <c:pt idx="27">
                  <c:v>2.6958299999999999</c:v>
                </c:pt>
                <c:pt idx="28">
                  <c:v>2.7083300000000001</c:v>
                </c:pt>
                <c:pt idx="29">
                  <c:v>2.7</c:v>
                </c:pt>
                <c:pt idx="30">
                  <c:v>2.7083300000000001</c:v>
                </c:pt>
                <c:pt idx="31">
                  <c:v>2.70417</c:v>
                </c:pt>
                <c:pt idx="32">
                  <c:v>2.7083300000000001</c:v>
                </c:pt>
                <c:pt idx="33">
                  <c:v>2.70417</c:v>
                </c:pt>
                <c:pt idx="34">
                  <c:v>2.7</c:v>
                </c:pt>
                <c:pt idx="35">
                  <c:v>2.7</c:v>
                </c:pt>
                <c:pt idx="36">
                  <c:v>2.6958299999999999</c:v>
                </c:pt>
                <c:pt idx="37">
                  <c:v>2.6958299999999999</c:v>
                </c:pt>
                <c:pt idx="38">
                  <c:v>2.70417</c:v>
                </c:pt>
                <c:pt idx="39">
                  <c:v>2.6916699999999998</c:v>
                </c:pt>
                <c:pt idx="40">
                  <c:v>2.6916699999999998</c:v>
                </c:pt>
                <c:pt idx="41">
                  <c:v>2.6958299999999999</c:v>
                </c:pt>
                <c:pt idx="42">
                  <c:v>2.7</c:v>
                </c:pt>
                <c:pt idx="43">
                  <c:v>2.7</c:v>
                </c:pt>
                <c:pt idx="44">
                  <c:v>2.6916699999999998</c:v>
                </c:pt>
                <c:pt idx="45">
                  <c:v>2.6916699999999998</c:v>
                </c:pt>
                <c:pt idx="46">
                  <c:v>2.6916699999999998</c:v>
                </c:pt>
                <c:pt idx="47">
                  <c:v>2.6916699999999998</c:v>
                </c:pt>
                <c:pt idx="48">
                  <c:v>2.6916699999999998</c:v>
                </c:pt>
                <c:pt idx="49">
                  <c:v>2.6916699999999998</c:v>
                </c:pt>
                <c:pt idx="50">
                  <c:v>2.6875</c:v>
                </c:pt>
                <c:pt idx="51">
                  <c:v>2.6958299999999999</c:v>
                </c:pt>
                <c:pt idx="52">
                  <c:v>2.6749999999999998</c:v>
                </c:pt>
                <c:pt idx="53">
                  <c:v>2.6916699999999998</c:v>
                </c:pt>
                <c:pt idx="54">
                  <c:v>2.6916699999999998</c:v>
                </c:pt>
                <c:pt idx="55">
                  <c:v>2.6916699999999998</c:v>
                </c:pt>
                <c:pt idx="56">
                  <c:v>2.6875</c:v>
                </c:pt>
                <c:pt idx="57">
                  <c:v>2.6916699999999998</c:v>
                </c:pt>
                <c:pt idx="58">
                  <c:v>2.6958299999999999</c:v>
                </c:pt>
                <c:pt idx="59">
                  <c:v>2.6833300000000002</c:v>
                </c:pt>
                <c:pt idx="60">
                  <c:v>2.6875</c:v>
                </c:pt>
                <c:pt idx="61">
                  <c:v>2.6916699999999998</c:v>
                </c:pt>
                <c:pt idx="62">
                  <c:v>2.6875</c:v>
                </c:pt>
                <c:pt idx="63">
                  <c:v>2.6916699999999998</c:v>
                </c:pt>
                <c:pt idx="64">
                  <c:v>2.6875</c:v>
                </c:pt>
                <c:pt idx="65">
                  <c:v>2.6875</c:v>
                </c:pt>
                <c:pt idx="66">
                  <c:v>2.6916699999999998</c:v>
                </c:pt>
                <c:pt idx="67">
                  <c:v>2.6875</c:v>
                </c:pt>
                <c:pt idx="68">
                  <c:v>2.6791700000000001</c:v>
                </c:pt>
                <c:pt idx="69">
                  <c:v>2.6875</c:v>
                </c:pt>
                <c:pt idx="70">
                  <c:v>2.6833300000000002</c:v>
                </c:pt>
                <c:pt idx="71">
                  <c:v>2.6916699999999998</c:v>
                </c:pt>
                <c:pt idx="72">
                  <c:v>2.6875</c:v>
                </c:pt>
                <c:pt idx="73">
                  <c:v>2.6791700000000001</c:v>
                </c:pt>
                <c:pt idx="74">
                  <c:v>2.6916699999999998</c:v>
                </c:pt>
                <c:pt idx="75">
                  <c:v>2.6791700000000001</c:v>
                </c:pt>
                <c:pt idx="76">
                  <c:v>2.6833300000000002</c:v>
                </c:pt>
                <c:pt idx="77">
                  <c:v>2.6916699999999998</c:v>
                </c:pt>
                <c:pt idx="78">
                  <c:v>2.6749999999999998</c:v>
                </c:pt>
                <c:pt idx="79">
                  <c:v>2.6833300000000002</c:v>
                </c:pt>
                <c:pt idx="80">
                  <c:v>2.6833300000000002</c:v>
                </c:pt>
                <c:pt idx="81">
                  <c:v>2.6833300000000002</c:v>
                </c:pt>
                <c:pt idx="82">
                  <c:v>2.6791700000000001</c:v>
                </c:pt>
                <c:pt idx="83">
                  <c:v>2.6833300000000002</c:v>
                </c:pt>
                <c:pt idx="84">
                  <c:v>2.6833300000000002</c:v>
                </c:pt>
                <c:pt idx="85">
                  <c:v>2.6833300000000002</c:v>
                </c:pt>
                <c:pt idx="86">
                  <c:v>2.6749999999999998</c:v>
                </c:pt>
                <c:pt idx="87">
                  <c:v>2.67083</c:v>
                </c:pt>
                <c:pt idx="88">
                  <c:v>2.67083</c:v>
                </c:pt>
                <c:pt idx="89">
                  <c:v>2.6666699999999999</c:v>
                </c:pt>
                <c:pt idx="90">
                  <c:v>2.6666699999999999</c:v>
                </c:pt>
                <c:pt idx="91">
                  <c:v>2.67083</c:v>
                </c:pt>
                <c:pt idx="92">
                  <c:v>2.6666699999999999</c:v>
                </c:pt>
                <c:pt idx="93">
                  <c:v>2.6666699999999999</c:v>
                </c:pt>
                <c:pt idx="94">
                  <c:v>2.6666699999999999</c:v>
                </c:pt>
                <c:pt idx="95">
                  <c:v>2.67083</c:v>
                </c:pt>
                <c:pt idx="96">
                  <c:v>2.67083</c:v>
                </c:pt>
                <c:pt idx="97">
                  <c:v>2.6749999999999998</c:v>
                </c:pt>
                <c:pt idx="98">
                  <c:v>2.6749999999999998</c:v>
                </c:pt>
                <c:pt idx="99">
                  <c:v>2.6749999999999998</c:v>
                </c:pt>
                <c:pt idx="100">
                  <c:v>2.6666699999999999</c:v>
                </c:pt>
                <c:pt idx="101">
                  <c:v>2.6625000000000001</c:v>
                </c:pt>
                <c:pt idx="102">
                  <c:v>2.67083</c:v>
                </c:pt>
                <c:pt idx="103">
                  <c:v>2.6666699999999999</c:v>
                </c:pt>
                <c:pt idx="104">
                  <c:v>2.67083</c:v>
                </c:pt>
                <c:pt idx="105">
                  <c:v>2.6625000000000001</c:v>
                </c:pt>
                <c:pt idx="106">
                  <c:v>2.6625000000000001</c:v>
                </c:pt>
                <c:pt idx="107">
                  <c:v>2.6625000000000001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C3-4565-BB33-0569FABB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03775"/>
        <c:axId val="452104255"/>
      </c:scatterChart>
      <c:valAx>
        <c:axId val="45210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2104255"/>
        <c:crosses val="autoZero"/>
        <c:crossBetween val="midCat"/>
      </c:valAx>
      <c:valAx>
        <c:axId val="45210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210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Tabelle1!$F$1</c:f>
              <c:strCache>
                <c:ptCount val="1"/>
                <c:pt idx="0">
                  <c:v>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Tabelle1!$A$2:$A$109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Tabelle1!$F$2:$F$109</c:f>
              <c:numCache>
                <c:formatCode>0.00000</c:formatCode>
                <c:ptCount val="108"/>
                <c:pt idx="0">
                  <c:v>9.7590605242860704</c:v>
                </c:pt>
                <c:pt idx="1">
                  <c:v>9.7889712422819901</c:v>
                </c:pt>
                <c:pt idx="2">
                  <c:v>9.8190920805758104</c:v>
                </c:pt>
                <c:pt idx="3">
                  <c:v>9.8190920805758104</c:v>
                </c:pt>
                <c:pt idx="4">
                  <c:v>9.8190920805758104</c:v>
                </c:pt>
                <c:pt idx="5">
                  <c:v>9.8190920805758104</c:v>
                </c:pt>
                <c:pt idx="6">
                  <c:v>9.8493521565918272</c:v>
                </c:pt>
                <c:pt idx="7">
                  <c:v>9.8190920805758104</c:v>
                </c:pt>
                <c:pt idx="8">
                  <c:v>9.8190920805758104</c:v>
                </c:pt>
                <c:pt idx="9">
                  <c:v>9.8190920805758104</c:v>
                </c:pt>
                <c:pt idx="10">
                  <c:v>9.8190920805758104</c:v>
                </c:pt>
                <c:pt idx="11">
                  <c:v>9.8493521565918272</c:v>
                </c:pt>
                <c:pt idx="12">
                  <c:v>9.8796792594861902</c:v>
                </c:pt>
                <c:pt idx="13">
                  <c:v>9.8796792594861902</c:v>
                </c:pt>
                <c:pt idx="14">
                  <c:v>9.8796792594861902</c:v>
                </c:pt>
                <c:pt idx="15">
                  <c:v>9.8493521565918272</c:v>
                </c:pt>
                <c:pt idx="16">
                  <c:v>9.8493521565918272</c:v>
                </c:pt>
                <c:pt idx="17">
                  <c:v>9.9102200570609185</c:v>
                </c:pt>
                <c:pt idx="18">
                  <c:v>9.8796792594861902</c:v>
                </c:pt>
                <c:pt idx="19">
                  <c:v>9.8796792594861902</c:v>
                </c:pt>
                <c:pt idx="20">
                  <c:v>9.8796792594861902</c:v>
                </c:pt>
                <c:pt idx="21">
                  <c:v>9.8493521565918272</c:v>
                </c:pt>
                <c:pt idx="22">
                  <c:v>9.8190920805758104</c:v>
                </c:pt>
                <c:pt idx="23">
                  <c:v>9.8493521565918272</c:v>
                </c:pt>
                <c:pt idx="24">
                  <c:v>9.9409026888007901</c:v>
                </c:pt>
                <c:pt idx="25">
                  <c:v>9.8190920805758104</c:v>
                </c:pt>
                <c:pt idx="26">
                  <c:v>9.8796792594861902</c:v>
                </c:pt>
                <c:pt idx="27">
                  <c:v>9.9409026888007901</c:v>
                </c:pt>
                <c:pt idx="28">
                  <c:v>9.8493521565918272</c:v>
                </c:pt>
                <c:pt idx="29">
                  <c:v>9.9102200570609185</c:v>
                </c:pt>
                <c:pt idx="30">
                  <c:v>9.8493521565918272</c:v>
                </c:pt>
                <c:pt idx="31">
                  <c:v>9.8796792594861902</c:v>
                </c:pt>
                <c:pt idx="32">
                  <c:v>9.8493521565918272</c:v>
                </c:pt>
                <c:pt idx="33">
                  <c:v>9.8796792594861902</c:v>
                </c:pt>
                <c:pt idx="34">
                  <c:v>9.9102200570609185</c:v>
                </c:pt>
                <c:pt idx="35">
                  <c:v>9.9102200570609185</c:v>
                </c:pt>
                <c:pt idx="36">
                  <c:v>9.9409026888007901</c:v>
                </c:pt>
                <c:pt idx="37">
                  <c:v>9.9409026888007901</c:v>
                </c:pt>
                <c:pt idx="38">
                  <c:v>9.8796792594861902</c:v>
                </c:pt>
                <c:pt idx="39">
                  <c:v>9.9716539412153224</c:v>
                </c:pt>
                <c:pt idx="40">
                  <c:v>9.9716539412153224</c:v>
                </c:pt>
                <c:pt idx="41">
                  <c:v>9.9409026888007901</c:v>
                </c:pt>
                <c:pt idx="42">
                  <c:v>9.9102200570609185</c:v>
                </c:pt>
                <c:pt idx="43">
                  <c:v>9.9102200570609185</c:v>
                </c:pt>
                <c:pt idx="44">
                  <c:v>9.9716539412153224</c:v>
                </c:pt>
                <c:pt idx="45">
                  <c:v>9.9716539412153224</c:v>
                </c:pt>
                <c:pt idx="46">
                  <c:v>9.9716539412153224</c:v>
                </c:pt>
                <c:pt idx="47">
                  <c:v>9.9716539412153224</c:v>
                </c:pt>
                <c:pt idx="48">
                  <c:v>9.9716539412153224</c:v>
                </c:pt>
                <c:pt idx="49">
                  <c:v>9.9716539412153224</c:v>
                </c:pt>
                <c:pt idx="50">
                  <c:v>10.002622541530217</c:v>
                </c:pt>
                <c:pt idx="51">
                  <c:v>9.9409026888007901</c:v>
                </c:pt>
                <c:pt idx="52">
                  <c:v>10.096323412137181</c:v>
                </c:pt>
                <c:pt idx="53">
                  <c:v>9.9716539412153224</c:v>
                </c:pt>
                <c:pt idx="54">
                  <c:v>9.9716539412153224</c:v>
                </c:pt>
                <c:pt idx="55">
                  <c:v>9.9716539412153224</c:v>
                </c:pt>
                <c:pt idx="56">
                  <c:v>10.002622541530217</c:v>
                </c:pt>
                <c:pt idx="57">
                  <c:v>9.9716539412153224</c:v>
                </c:pt>
                <c:pt idx="58">
                  <c:v>9.9409026888007901</c:v>
                </c:pt>
                <c:pt idx="59">
                  <c:v>10.033735633257983</c:v>
                </c:pt>
                <c:pt idx="60">
                  <c:v>10.002622541530217</c:v>
                </c:pt>
                <c:pt idx="61">
                  <c:v>9.9716539412153224</c:v>
                </c:pt>
                <c:pt idx="62">
                  <c:v>10.002622541530217</c:v>
                </c:pt>
                <c:pt idx="63">
                  <c:v>9.9716539412153224</c:v>
                </c:pt>
                <c:pt idx="64">
                  <c:v>10.002622541530217</c:v>
                </c:pt>
                <c:pt idx="65">
                  <c:v>10.002622541530217</c:v>
                </c:pt>
                <c:pt idx="66">
                  <c:v>9.9716539412153224</c:v>
                </c:pt>
                <c:pt idx="67">
                  <c:v>10.002622541530217</c:v>
                </c:pt>
                <c:pt idx="68">
                  <c:v>10.064918981651955</c:v>
                </c:pt>
                <c:pt idx="69">
                  <c:v>10.002622541530217</c:v>
                </c:pt>
                <c:pt idx="70">
                  <c:v>10.033735633257983</c:v>
                </c:pt>
                <c:pt idx="71">
                  <c:v>9.9716539412153224</c:v>
                </c:pt>
                <c:pt idx="72">
                  <c:v>10.002622541530217</c:v>
                </c:pt>
                <c:pt idx="73">
                  <c:v>10.064918981651955</c:v>
                </c:pt>
                <c:pt idx="74">
                  <c:v>9.9716539412153224</c:v>
                </c:pt>
                <c:pt idx="75">
                  <c:v>10.064918981651955</c:v>
                </c:pt>
                <c:pt idx="76">
                  <c:v>10.033735633257983</c:v>
                </c:pt>
                <c:pt idx="77">
                  <c:v>9.9716539412153224</c:v>
                </c:pt>
                <c:pt idx="78">
                  <c:v>10.096323412137181</c:v>
                </c:pt>
                <c:pt idx="79">
                  <c:v>10.033735633257983</c:v>
                </c:pt>
                <c:pt idx="80">
                  <c:v>10.033735633257983</c:v>
                </c:pt>
                <c:pt idx="81">
                  <c:v>10.033735633257983</c:v>
                </c:pt>
                <c:pt idx="82">
                  <c:v>10.064918981651955</c:v>
                </c:pt>
                <c:pt idx="83">
                  <c:v>10.033735633257983</c:v>
                </c:pt>
                <c:pt idx="84">
                  <c:v>10.033735633257983</c:v>
                </c:pt>
                <c:pt idx="85">
                  <c:v>10.033735633257983</c:v>
                </c:pt>
                <c:pt idx="86">
                  <c:v>10.096323412137181</c:v>
                </c:pt>
                <c:pt idx="87">
                  <c:v>10.127875053804585</c:v>
                </c:pt>
                <c:pt idx="88">
                  <c:v>10.127875053804585</c:v>
                </c:pt>
                <c:pt idx="89">
                  <c:v>10.159498631608907</c:v>
                </c:pt>
                <c:pt idx="90">
                  <c:v>10.159498631608907</c:v>
                </c:pt>
                <c:pt idx="91">
                  <c:v>10.127875053804585</c:v>
                </c:pt>
                <c:pt idx="92">
                  <c:v>10.159498631608907</c:v>
                </c:pt>
                <c:pt idx="93">
                  <c:v>10.159498631608907</c:v>
                </c:pt>
                <c:pt idx="94">
                  <c:v>10.159498631608907</c:v>
                </c:pt>
                <c:pt idx="95">
                  <c:v>10.127875053804585</c:v>
                </c:pt>
                <c:pt idx="96">
                  <c:v>10.127875053804585</c:v>
                </c:pt>
                <c:pt idx="97">
                  <c:v>10.096323412137181</c:v>
                </c:pt>
                <c:pt idx="98">
                  <c:v>10.096323412137181</c:v>
                </c:pt>
                <c:pt idx="99">
                  <c:v>10.096323412137181</c:v>
                </c:pt>
                <c:pt idx="100">
                  <c:v>10.159498631608907</c:v>
                </c:pt>
                <c:pt idx="101">
                  <c:v>10.191347108868042</c:v>
                </c:pt>
                <c:pt idx="102">
                  <c:v>10.127875053804585</c:v>
                </c:pt>
                <c:pt idx="103">
                  <c:v>10.159498631608907</c:v>
                </c:pt>
                <c:pt idx="104">
                  <c:v>10.127875053804585</c:v>
                </c:pt>
                <c:pt idx="105">
                  <c:v>10.191347108868042</c:v>
                </c:pt>
                <c:pt idx="106">
                  <c:v>10.191347108868042</c:v>
                </c:pt>
                <c:pt idx="107">
                  <c:v>10.191347108868042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A5-4ABF-8520-3D2B33D17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465375"/>
        <c:axId val="451467775"/>
      </c:scatterChart>
      <c:valAx>
        <c:axId val="45146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1467775"/>
        <c:crosses val="autoZero"/>
        <c:crossBetween val="midCat"/>
      </c:valAx>
      <c:valAx>
        <c:axId val="4514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146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4</xdr:row>
      <xdr:rowOff>52387</xdr:rowOff>
    </xdr:from>
    <xdr:to>
      <xdr:col>12</xdr:col>
      <xdr:colOff>609600</xdr:colOff>
      <xdr:row>18</xdr:row>
      <xdr:rowOff>128587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334BDB84-D88C-12F0-C6DF-4888AA908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152400</xdr:colOff>
      <xdr:row>4</xdr:row>
      <xdr:rowOff>52387</xdr:rowOff>
    </xdr:from>
    <xdr:to>
      <xdr:col>19</xdr:col>
      <xdr:colOff>152400</xdr:colOff>
      <xdr:row>18</xdr:row>
      <xdr:rowOff>128587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43D906E-6857-40E0-7932-F7A0EA5E3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AEF0-C8EB-4336-98BE-4B391BAC975F}">
  <dimension ref="A1:J109"/>
  <sheetViews>
    <sheetView tabSelected="1" workbookViewId="0">
      <selection activeCell="N22" sqref="N22"/>
    </sheetView>
  </sheetViews>
  <sheetFormatPr baseColWidth="10" defaultRowHeight="15" x14ac:dyDescent="0.25"/>
  <cols>
    <col min="2" max="2" width="14.85546875" style="1" customWidth="1"/>
    <col min="3" max="3" width="10.85546875" style="1" customWidth="1"/>
    <col min="4" max="7" width="11.42578125" style="1"/>
    <col min="8" max="8" width="13.28515625" style="1" customWidth="1"/>
    <col min="9" max="9" width="15.28515625" customWidth="1"/>
    <col min="10" max="10" width="11.42578125" style="1"/>
  </cols>
  <sheetData>
    <row r="1" spans="1:10" x14ac:dyDescent="0.25">
      <c r="B1" s="1" t="s">
        <v>0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1</v>
      </c>
      <c r="H1" s="1" t="s">
        <v>2</v>
      </c>
      <c r="I1" s="1" t="s">
        <v>4</v>
      </c>
      <c r="J1" s="1" t="s">
        <v>5</v>
      </c>
    </row>
    <row r="2" spans="1:10" x14ac:dyDescent="0.25">
      <c r="A2">
        <v>1</v>
      </c>
      <c r="B2" s="1">
        <v>2.7208299999999999</v>
      </c>
      <c r="C2" s="1">
        <f>LN(B2)</f>
        <v>1.0009369808188346</v>
      </c>
      <c r="D2" s="1">
        <f>AVERAGE(B:B)</f>
        <v>2.6908952777777806</v>
      </c>
      <c r="E2" s="1">
        <f>_xlfn.STDEV.P(B:B)</f>
        <v>1.4981740519609647E-2</v>
      </c>
      <c r="F2" s="1">
        <f>4*PI()^2*1.83/B2^2</f>
        <v>9.7590605242860704</v>
      </c>
      <c r="G2" s="1">
        <f>AVERAGE(F:F)</f>
        <v>9.9783256378541854</v>
      </c>
      <c r="H2" s="1">
        <f>_xlfn.STDEV.P(F:F)</f>
        <v>0.11127427377983208</v>
      </c>
      <c r="I2">
        <v>9.81</v>
      </c>
      <c r="J2" s="2">
        <f>1-G2/I2</f>
        <v>-1.7158576743545817E-2</v>
      </c>
    </row>
    <row r="3" spans="1:10" x14ac:dyDescent="0.25">
      <c r="A3">
        <v>2</v>
      </c>
      <c r="B3" s="1">
        <v>2.7166700000000001</v>
      </c>
      <c r="C3" s="1">
        <f t="shared" ref="C3:C66" si="0">LN(B3)</f>
        <v>0.99940686557777403</v>
      </c>
      <c r="E3" s="1">
        <v>4.1666666666666666E-3</v>
      </c>
      <c r="F3" s="1">
        <f t="shared" ref="F3:F66" si="1">4*PI()^2*1.83/B3^2</f>
        <v>9.7889712422819901</v>
      </c>
    </row>
    <row r="4" spans="1:10" x14ac:dyDescent="0.25">
      <c r="A4">
        <v>3</v>
      </c>
      <c r="B4" s="1">
        <v>2.7124999999999999</v>
      </c>
      <c r="C4" s="1">
        <f t="shared" si="0"/>
        <v>0.99787071886657785</v>
      </c>
      <c r="F4" s="1">
        <f t="shared" si="1"/>
        <v>9.8190920805758104</v>
      </c>
    </row>
    <row r="5" spans="1:10" x14ac:dyDescent="0.25">
      <c r="A5">
        <v>4</v>
      </c>
      <c r="B5" s="1">
        <v>2.7124999999999999</v>
      </c>
      <c r="C5" s="1">
        <f t="shared" si="0"/>
        <v>0.99787071886657785</v>
      </c>
      <c r="F5" s="1">
        <f t="shared" si="1"/>
        <v>9.8190920805758104</v>
      </c>
    </row>
    <row r="6" spans="1:10" x14ac:dyDescent="0.25">
      <c r="A6">
        <v>5</v>
      </c>
      <c r="B6" s="1">
        <v>2.7124999999999999</v>
      </c>
      <c r="C6" s="1">
        <f t="shared" si="0"/>
        <v>0.99787071886657785</v>
      </c>
      <c r="F6" s="1">
        <f t="shared" si="1"/>
        <v>9.8190920805758104</v>
      </c>
    </row>
    <row r="7" spans="1:10" x14ac:dyDescent="0.25">
      <c r="A7">
        <v>6</v>
      </c>
      <c r="B7" s="1">
        <v>2.7124999999999999</v>
      </c>
      <c r="C7" s="1">
        <f t="shared" si="0"/>
        <v>0.99787071886657785</v>
      </c>
      <c r="F7" s="1">
        <f t="shared" si="1"/>
        <v>9.8190920805758104</v>
      </c>
    </row>
    <row r="8" spans="1:10" x14ac:dyDescent="0.25">
      <c r="A8">
        <v>7</v>
      </c>
      <c r="B8" s="1">
        <v>2.7083300000000001</v>
      </c>
      <c r="C8" s="1">
        <f t="shared" si="0"/>
        <v>0.99633220877770334</v>
      </c>
      <c r="F8" s="1">
        <f t="shared" si="1"/>
        <v>9.8493521565918272</v>
      </c>
    </row>
    <row r="9" spans="1:10" x14ac:dyDescent="0.25">
      <c r="A9">
        <v>8</v>
      </c>
      <c r="B9" s="1">
        <v>2.7124999999999999</v>
      </c>
      <c r="C9" s="1">
        <f t="shared" si="0"/>
        <v>0.99787071886657785</v>
      </c>
      <c r="F9" s="1">
        <f t="shared" si="1"/>
        <v>9.8190920805758104</v>
      </c>
    </row>
    <row r="10" spans="1:10" x14ac:dyDescent="0.25">
      <c r="A10">
        <v>9</v>
      </c>
      <c r="B10" s="1">
        <v>2.7124999999999999</v>
      </c>
      <c r="C10" s="1">
        <f t="shared" si="0"/>
        <v>0.99787071886657785</v>
      </c>
      <c r="F10" s="1">
        <f t="shared" si="1"/>
        <v>9.8190920805758104</v>
      </c>
    </row>
    <row r="11" spans="1:10" x14ac:dyDescent="0.25">
      <c r="A11">
        <v>10</v>
      </c>
      <c r="B11" s="1">
        <v>2.7124999999999999</v>
      </c>
      <c r="C11" s="1">
        <f t="shared" si="0"/>
        <v>0.99787071886657785</v>
      </c>
      <c r="F11" s="1">
        <f t="shared" si="1"/>
        <v>9.8190920805758104</v>
      </c>
    </row>
    <row r="12" spans="1:10" x14ac:dyDescent="0.25">
      <c r="A12">
        <v>11</v>
      </c>
      <c r="B12" s="1">
        <v>2.7124999999999999</v>
      </c>
      <c r="C12" s="1">
        <f t="shared" si="0"/>
        <v>0.99787071886657785</v>
      </c>
      <c r="F12" s="1">
        <f t="shared" si="1"/>
        <v>9.8190920805758104</v>
      </c>
    </row>
    <row r="13" spans="1:10" x14ac:dyDescent="0.25">
      <c r="A13">
        <v>12</v>
      </c>
      <c r="B13" s="1">
        <v>2.7083300000000001</v>
      </c>
      <c r="C13" s="1">
        <f t="shared" si="0"/>
        <v>0.99633220877770334</v>
      </c>
      <c r="F13" s="1">
        <f t="shared" si="1"/>
        <v>9.8493521565918272</v>
      </c>
    </row>
    <row r="14" spans="1:10" x14ac:dyDescent="0.25">
      <c r="A14">
        <v>13</v>
      </c>
      <c r="B14" s="1">
        <v>2.70417</v>
      </c>
      <c r="C14" s="1">
        <f t="shared" si="0"/>
        <v>0.99479502602697845</v>
      </c>
      <c r="F14" s="1">
        <f t="shared" si="1"/>
        <v>9.8796792594861902</v>
      </c>
    </row>
    <row r="15" spans="1:10" x14ac:dyDescent="0.25">
      <c r="A15">
        <v>14</v>
      </c>
      <c r="B15" s="1">
        <v>2.70417</v>
      </c>
      <c r="C15" s="1">
        <f t="shared" si="0"/>
        <v>0.99479502602697845</v>
      </c>
      <c r="F15" s="1">
        <f t="shared" si="1"/>
        <v>9.8796792594861902</v>
      </c>
    </row>
    <row r="16" spans="1:10" x14ac:dyDescent="0.25">
      <c r="A16">
        <v>15</v>
      </c>
      <c r="B16" s="1">
        <v>2.70417</v>
      </c>
      <c r="C16" s="1">
        <f t="shared" si="0"/>
        <v>0.99479502602697845</v>
      </c>
      <c r="F16" s="1">
        <f t="shared" si="1"/>
        <v>9.8796792594861902</v>
      </c>
    </row>
    <row r="17" spans="1:6" x14ac:dyDescent="0.25">
      <c r="A17">
        <v>16</v>
      </c>
      <c r="B17" s="1">
        <v>2.7083300000000001</v>
      </c>
      <c r="C17" s="1">
        <f t="shared" si="0"/>
        <v>0.99633220877770334</v>
      </c>
      <c r="F17" s="1">
        <f t="shared" si="1"/>
        <v>9.8493521565918272</v>
      </c>
    </row>
    <row r="18" spans="1:6" x14ac:dyDescent="0.25">
      <c r="A18">
        <v>17</v>
      </c>
      <c r="B18" s="1">
        <v>2.7083300000000001</v>
      </c>
      <c r="C18" s="1">
        <f t="shared" si="0"/>
        <v>0.99633220877770334</v>
      </c>
      <c r="F18" s="1">
        <f t="shared" si="1"/>
        <v>9.8493521565918272</v>
      </c>
    </row>
    <row r="19" spans="1:6" x14ac:dyDescent="0.25">
      <c r="A19">
        <v>18</v>
      </c>
      <c r="B19" s="1">
        <v>2.7</v>
      </c>
      <c r="C19" s="1">
        <f t="shared" si="0"/>
        <v>0.99325177301028345</v>
      </c>
      <c r="F19" s="1">
        <f t="shared" si="1"/>
        <v>9.9102200570609185</v>
      </c>
    </row>
    <row r="20" spans="1:6" x14ac:dyDescent="0.25">
      <c r="A20">
        <v>19</v>
      </c>
      <c r="B20" s="1">
        <v>2.70417</v>
      </c>
      <c r="C20" s="1">
        <f t="shared" si="0"/>
        <v>0.99479502602697845</v>
      </c>
      <c r="F20" s="1">
        <f t="shared" si="1"/>
        <v>9.8796792594861902</v>
      </c>
    </row>
    <row r="21" spans="1:6" x14ac:dyDescent="0.25">
      <c r="A21">
        <v>20</v>
      </c>
      <c r="B21" s="1">
        <v>2.70417</v>
      </c>
      <c r="C21" s="1">
        <f t="shared" si="0"/>
        <v>0.99479502602697845</v>
      </c>
      <c r="F21" s="1">
        <f t="shared" si="1"/>
        <v>9.8796792594861902</v>
      </c>
    </row>
    <row r="22" spans="1:6" x14ac:dyDescent="0.25">
      <c r="A22">
        <v>21</v>
      </c>
      <c r="B22" s="1">
        <v>2.70417</v>
      </c>
      <c r="C22" s="1">
        <f t="shared" si="0"/>
        <v>0.99479502602697845</v>
      </c>
      <c r="F22" s="1">
        <f t="shared" si="1"/>
        <v>9.8796792594861902</v>
      </c>
    </row>
    <row r="23" spans="1:6" x14ac:dyDescent="0.25">
      <c r="A23">
        <v>22</v>
      </c>
      <c r="B23" s="1">
        <v>2.7083300000000001</v>
      </c>
      <c r="C23" s="1">
        <f t="shared" si="0"/>
        <v>0.99633220877770334</v>
      </c>
      <c r="F23" s="1">
        <f t="shared" si="1"/>
        <v>9.8493521565918272</v>
      </c>
    </row>
    <row r="24" spans="1:6" x14ac:dyDescent="0.25">
      <c r="A24">
        <v>23</v>
      </c>
      <c r="B24" s="1">
        <v>2.7124999999999999</v>
      </c>
      <c r="C24" s="1">
        <f t="shared" si="0"/>
        <v>0.99787071886657785</v>
      </c>
      <c r="F24" s="1">
        <f t="shared" si="1"/>
        <v>9.8190920805758104</v>
      </c>
    </row>
    <row r="25" spans="1:6" x14ac:dyDescent="0.25">
      <c r="A25">
        <v>24</v>
      </c>
      <c r="B25" s="1">
        <v>2.7083300000000001</v>
      </c>
      <c r="C25" s="1">
        <f t="shared" si="0"/>
        <v>0.99633220877770334</v>
      </c>
      <c r="F25" s="1">
        <f t="shared" si="1"/>
        <v>9.8493521565918272</v>
      </c>
    </row>
    <row r="26" spans="1:6" x14ac:dyDescent="0.25">
      <c r="A26">
        <v>25</v>
      </c>
      <c r="B26" s="1">
        <v>2.6958299999999999</v>
      </c>
      <c r="C26" s="1">
        <f t="shared" si="0"/>
        <v>0.99170613468210156</v>
      </c>
      <c r="F26" s="1">
        <f t="shared" si="1"/>
        <v>9.9409026888007901</v>
      </c>
    </row>
    <row r="27" spans="1:6" x14ac:dyDescent="0.25">
      <c r="A27">
        <v>26</v>
      </c>
      <c r="B27" s="1">
        <v>2.7124999999999999</v>
      </c>
      <c r="C27" s="1">
        <f t="shared" si="0"/>
        <v>0.99787071886657785</v>
      </c>
      <c r="F27" s="1">
        <f t="shared" si="1"/>
        <v>9.8190920805758104</v>
      </c>
    </row>
    <row r="28" spans="1:6" x14ac:dyDescent="0.25">
      <c r="A28">
        <v>27</v>
      </c>
      <c r="B28" s="1">
        <v>2.70417</v>
      </c>
      <c r="C28" s="1">
        <f t="shared" si="0"/>
        <v>0.99479502602697845</v>
      </c>
      <c r="F28" s="1">
        <f t="shared" si="1"/>
        <v>9.8796792594861902</v>
      </c>
    </row>
    <row r="29" spans="1:6" x14ac:dyDescent="0.25">
      <c r="A29">
        <v>28</v>
      </c>
      <c r="B29" s="1">
        <v>2.6958299999999999</v>
      </c>
      <c r="C29" s="1">
        <f t="shared" si="0"/>
        <v>0.99170613468210156</v>
      </c>
      <c r="F29" s="1">
        <f t="shared" si="1"/>
        <v>9.9409026888007901</v>
      </c>
    </row>
    <row r="30" spans="1:6" x14ac:dyDescent="0.25">
      <c r="A30">
        <v>29</v>
      </c>
      <c r="B30" s="1">
        <v>2.7083300000000001</v>
      </c>
      <c r="C30" s="1">
        <f t="shared" si="0"/>
        <v>0.99633220877770334</v>
      </c>
      <c r="F30" s="1">
        <f t="shared" si="1"/>
        <v>9.8493521565918272</v>
      </c>
    </row>
    <row r="31" spans="1:6" x14ac:dyDescent="0.25">
      <c r="A31">
        <v>30</v>
      </c>
      <c r="B31" s="1">
        <v>2.7</v>
      </c>
      <c r="C31" s="1">
        <f t="shared" si="0"/>
        <v>0.99325177301028345</v>
      </c>
      <c r="F31" s="1">
        <f t="shared" si="1"/>
        <v>9.9102200570609185</v>
      </c>
    </row>
    <row r="32" spans="1:6" x14ac:dyDescent="0.25">
      <c r="A32">
        <v>31</v>
      </c>
      <c r="B32" s="1">
        <v>2.7083300000000001</v>
      </c>
      <c r="C32" s="1">
        <f t="shared" si="0"/>
        <v>0.99633220877770334</v>
      </c>
      <c r="F32" s="1">
        <f t="shared" si="1"/>
        <v>9.8493521565918272</v>
      </c>
    </row>
    <row r="33" spans="1:6" x14ac:dyDescent="0.25">
      <c r="A33">
        <v>32</v>
      </c>
      <c r="B33" s="1">
        <v>2.70417</v>
      </c>
      <c r="C33" s="1">
        <f t="shared" si="0"/>
        <v>0.99479502602697845</v>
      </c>
      <c r="F33" s="1">
        <f t="shared" si="1"/>
        <v>9.8796792594861902</v>
      </c>
    </row>
    <row r="34" spans="1:6" x14ac:dyDescent="0.25">
      <c r="A34">
        <v>33</v>
      </c>
      <c r="B34" s="1">
        <v>2.7083300000000001</v>
      </c>
      <c r="C34" s="1">
        <f t="shared" si="0"/>
        <v>0.99633220877770334</v>
      </c>
      <c r="F34" s="1">
        <f t="shared" si="1"/>
        <v>9.8493521565918272</v>
      </c>
    </row>
    <row r="35" spans="1:6" x14ac:dyDescent="0.25">
      <c r="A35">
        <v>34</v>
      </c>
      <c r="B35" s="1">
        <v>2.70417</v>
      </c>
      <c r="C35" s="1">
        <f t="shared" si="0"/>
        <v>0.99479502602697845</v>
      </c>
      <c r="F35" s="1">
        <f t="shared" si="1"/>
        <v>9.8796792594861902</v>
      </c>
    </row>
    <row r="36" spans="1:6" x14ac:dyDescent="0.25">
      <c r="A36">
        <v>35</v>
      </c>
      <c r="B36" s="1">
        <v>2.7</v>
      </c>
      <c r="C36" s="1">
        <f t="shared" si="0"/>
        <v>0.99325177301028345</v>
      </c>
      <c r="F36" s="1">
        <f t="shared" si="1"/>
        <v>9.9102200570609185</v>
      </c>
    </row>
    <row r="37" spans="1:6" x14ac:dyDescent="0.25">
      <c r="A37">
        <v>36</v>
      </c>
      <c r="B37" s="1">
        <v>2.7</v>
      </c>
      <c r="C37" s="1">
        <f t="shared" si="0"/>
        <v>0.99325177301028345</v>
      </c>
      <c r="F37" s="1">
        <f t="shared" si="1"/>
        <v>9.9102200570609185</v>
      </c>
    </row>
    <row r="38" spans="1:6" x14ac:dyDescent="0.25">
      <c r="A38">
        <v>37</v>
      </c>
      <c r="B38" s="1">
        <v>2.6958299999999999</v>
      </c>
      <c r="C38" s="1">
        <f t="shared" si="0"/>
        <v>0.99170613468210156</v>
      </c>
      <c r="F38" s="1">
        <f t="shared" si="1"/>
        <v>9.9409026888007901</v>
      </c>
    </row>
    <row r="39" spans="1:6" x14ac:dyDescent="0.25">
      <c r="A39">
        <v>38</v>
      </c>
      <c r="B39" s="1">
        <v>2.6958299999999999</v>
      </c>
      <c r="C39" s="1">
        <f t="shared" si="0"/>
        <v>0.99170613468210156</v>
      </c>
      <c r="F39" s="1">
        <f t="shared" si="1"/>
        <v>9.9409026888007901</v>
      </c>
    </row>
    <row r="40" spans="1:6" x14ac:dyDescent="0.25">
      <c r="A40">
        <v>39</v>
      </c>
      <c r="B40" s="1">
        <v>2.70417</v>
      </c>
      <c r="C40" s="1">
        <f t="shared" si="0"/>
        <v>0.99479502602697845</v>
      </c>
      <c r="F40" s="1">
        <f t="shared" si="1"/>
        <v>9.8796792594861902</v>
      </c>
    </row>
    <row r="41" spans="1:6" x14ac:dyDescent="0.25">
      <c r="A41">
        <v>40</v>
      </c>
      <c r="B41" s="1">
        <v>2.6916699999999998</v>
      </c>
      <c r="C41" s="1">
        <f t="shared" si="0"/>
        <v>0.99016181882993659</v>
      </c>
      <c r="F41" s="1">
        <f t="shared" si="1"/>
        <v>9.9716539412153224</v>
      </c>
    </row>
    <row r="42" spans="1:6" x14ac:dyDescent="0.25">
      <c r="A42">
        <v>41</v>
      </c>
      <c r="B42" s="1">
        <v>2.6916699999999998</v>
      </c>
      <c r="C42" s="1">
        <f t="shared" si="0"/>
        <v>0.99016181882993659</v>
      </c>
      <c r="F42" s="1">
        <f t="shared" si="1"/>
        <v>9.9716539412153224</v>
      </c>
    </row>
    <row r="43" spans="1:6" x14ac:dyDescent="0.25">
      <c r="A43">
        <v>42</v>
      </c>
      <c r="B43" s="1">
        <v>2.6958299999999999</v>
      </c>
      <c r="C43" s="1">
        <f t="shared" si="0"/>
        <v>0.99170613468210156</v>
      </c>
      <c r="F43" s="1">
        <f t="shared" si="1"/>
        <v>9.9409026888007901</v>
      </c>
    </row>
    <row r="44" spans="1:6" x14ac:dyDescent="0.25">
      <c r="A44">
        <v>43</v>
      </c>
      <c r="B44" s="1">
        <v>2.7</v>
      </c>
      <c r="C44" s="1">
        <f t="shared" si="0"/>
        <v>0.99325177301028345</v>
      </c>
      <c r="F44" s="1">
        <f t="shared" si="1"/>
        <v>9.9102200570609185</v>
      </c>
    </row>
    <row r="45" spans="1:6" x14ac:dyDescent="0.25">
      <c r="A45">
        <v>44</v>
      </c>
      <c r="B45" s="1">
        <v>2.7</v>
      </c>
      <c r="C45" s="1">
        <f t="shared" si="0"/>
        <v>0.99325177301028345</v>
      </c>
      <c r="F45" s="1">
        <f t="shared" si="1"/>
        <v>9.9102200570609185</v>
      </c>
    </row>
    <row r="46" spans="1:6" x14ac:dyDescent="0.25">
      <c r="A46">
        <v>45</v>
      </c>
      <c r="B46" s="1">
        <v>2.6916699999999998</v>
      </c>
      <c r="C46" s="1">
        <f t="shared" si="0"/>
        <v>0.99016181882993659</v>
      </c>
      <c r="F46" s="1">
        <f t="shared" si="1"/>
        <v>9.9716539412153224</v>
      </c>
    </row>
    <row r="47" spans="1:6" x14ac:dyDescent="0.25">
      <c r="A47">
        <v>46</v>
      </c>
      <c r="B47" s="1">
        <v>2.6916699999999998</v>
      </c>
      <c r="C47" s="1">
        <f t="shared" si="0"/>
        <v>0.99016181882993659</v>
      </c>
      <c r="F47" s="1">
        <f t="shared" si="1"/>
        <v>9.9716539412153224</v>
      </c>
    </row>
    <row r="48" spans="1:6" x14ac:dyDescent="0.25">
      <c r="A48">
        <v>47</v>
      </c>
      <c r="B48" s="1">
        <v>2.6916699999999998</v>
      </c>
      <c r="C48" s="1">
        <f t="shared" si="0"/>
        <v>0.99016181882993659</v>
      </c>
      <c r="F48" s="1">
        <f t="shared" si="1"/>
        <v>9.9716539412153224</v>
      </c>
    </row>
    <row r="49" spans="1:6" x14ac:dyDescent="0.25">
      <c r="A49">
        <v>48</v>
      </c>
      <c r="B49" s="1">
        <v>2.6916699999999998</v>
      </c>
      <c r="C49" s="1">
        <f t="shared" si="0"/>
        <v>0.99016181882993659</v>
      </c>
      <c r="F49" s="1">
        <f t="shared" si="1"/>
        <v>9.9716539412153224</v>
      </c>
    </row>
    <row r="50" spans="1:6" x14ac:dyDescent="0.25">
      <c r="A50">
        <v>49</v>
      </c>
      <c r="B50" s="1">
        <v>2.6916699999999998</v>
      </c>
      <c r="C50" s="1">
        <f t="shared" si="0"/>
        <v>0.99016181882993659</v>
      </c>
      <c r="F50" s="1">
        <f t="shared" si="1"/>
        <v>9.9716539412153224</v>
      </c>
    </row>
    <row r="51" spans="1:6" x14ac:dyDescent="0.25">
      <c r="A51">
        <v>50</v>
      </c>
      <c r="B51" s="1">
        <v>2.6916699999999998</v>
      </c>
      <c r="C51" s="1">
        <f t="shared" si="0"/>
        <v>0.99016181882993659</v>
      </c>
      <c r="F51" s="1">
        <f t="shared" si="1"/>
        <v>9.9716539412153224</v>
      </c>
    </row>
    <row r="52" spans="1:6" x14ac:dyDescent="0.25">
      <c r="A52">
        <v>51</v>
      </c>
      <c r="B52" s="1">
        <v>2.6875</v>
      </c>
      <c r="C52" s="1">
        <f t="shared" si="0"/>
        <v>0.98861139345378124</v>
      </c>
      <c r="F52" s="1">
        <f t="shared" si="1"/>
        <v>10.002622541530217</v>
      </c>
    </row>
    <row r="53" spans="1:6" x14ac:dyDescent="0.25">
      <c r="A53">
        <v>52</v>
      </c>
      <c r="B53" s="1">
        <v>2.6958299999999999</v>
      </c>
      <c r="C53" s="1">
        <f t="shared" si="0"/>
        <v>0.99170613468210156</v>
      </c>
      <c r="F53" s="1">
        <f t="shared" si="1"/>
        <v>9.9409026888007901</v>
      </c>
    </row>
    <row r="54" spans="1:6" x14ac:dyDescent="0.25">
      <c r="A54">
        <v>53</v>
      </c>
      <c r="B54" s="1">
        <v>2.6749999999999998</v>
      </c>
      <c r="C54" s="1">
        <f t="shared" si="0"/>
        <v>0.98394938034796975</v>
      </c>
      <c r="F54" s="1">
        <f t="shared" si="1"/>
        <v>10.096323412137181</v>
      </c>
    </row>
    <row r="55" spans="1:6" x14ac:dyDescent="0.25">
      <c r="A55">
        <v>54</v>
      </c>
      <c r="B55" s="1">
        <v>2.6916699999999998</v>
      </c>
      <c r="C55" s="1">
        <f t="shared" si="0"/>
        <v>0.99016181882993659</v>
      </c>
      <c r="F55" s="1">
        <f t="shared" si="1"/>
        <v>9.9716539412153224</v>
      </c>
    </row>
    <row r="56" spans="1:6" x14ac:dyDescent="0.25">
      <c r="A56">
        <v>55</v>
      </c>
      <c r="B56" s="1">
        <v>2.6916699999999998</v>
      </c>
      <c r="C56" s="1">
        <f t="shared" si="0"/>
        <v>0.99016181882993659</v>
      </c>
      <c r="F56" s="1">
        <f t="shared" si="1"/>
        <v>9.9716539412153224</v>
      </c>
    </row>
    <row r="57" spans="1:6" x14ac:dyDescent="0.25">
      <c r="A57">
        <v>56</v>
      </c>
      <c r="B57" s="1">
        <v>2.6916699999999998</v>
      </c>
      <c r="C57" s="1">
        <f t="shared" si="0"/>
        <v>0.99016181882993659</v>
      </c>
      <c r="F57" s="1">
        <f t="shared" si="1"/>
        <v>9.9716539412153224</v>
      </c>
    </row>
    <row r="58" spans="1:6" x14ac:dyDescent="0.25">
      <c r="A58">
        <v>57</v>
      </c>
      <c r="B58" s="1">
        <v>2.6875</v>
      </c>
      <c r="C58" s="1">
        <f t="shared" si="0"/>
        <v>0.98861139345378124</v>
      </c>
      <c r="F58" s="1">
        <f t="shared" si="1"/>
        <v>10.002622541530217</v>
      </c>
    </row>
    <row r="59" spans="1:6" x14ac:dyDescent="0.25">
      <c r="A59">
        <v>58</v>
      </c>
      <c r="B59" s="1">
        <v>2.6916699999999998</v>
      </c>
      <c r="C59" s="1">
        <f t="shared" si="0"/>
        <v>0.99016181882993659</v>
      </c>
      <c r="F59" s="1">
        <f t="shared" si="1"/>
        <v>9.9716539412153224</v>
      </c>
    </row>
    <row r="60" spans="1:6" x14ac:dyDescent="0.25">
      <c r="A60">
        <v>59</v>
      </c>
      <c r="B60" s="1">
        <v>2.6958299999999999</v>
      </c>
      <c r="C60" s="1">
        <f t="shared" si="0"/>
        <v>0.99170613468210156</v>
      </c>
      <c r="F60" s="1">
        <f t="shared" si="1"/>
        <v>9.9409026888007901</v>
      </c>
    </row>
    <row r="61" spans="1:6" x14ac:dyDescent="0.25">
      <c r="A61">
        <v>60</v>
      </c>
      <c r="B61" s="1">
        <v>2.6833300000000002</v>
      </c>
      <c r="C61" s="1">
        <f t="shared" si="0"/>
        <v>0.98705856052556595</v>
      </c>
      <c r="F61" s="1">
        <f t="shared" si="1"/>
        <v>10.033735633257983</v>
      </c>
    </row>
    <row r="62" spans="1:6" x14ac:dyDescent="0.25">
      <c r="A62">
        <v>61</v>
      </c>
      <c r="B62" s="1">
        <v>2.6875</v>
      </c>
      <c r="C62" s="1">
        <f t="shared" si="0"/>
        <v>0.98861139345378124</v>
      </c>
      <c r="F62" s="1">
        <f t="shared" si="1"/>
        <v>10.002622541530217</v>
      </c>
    </row>
    <row r="63" spans="1:6" x14ac:dyDescent="0.25">
      <c r="A63">
        <v>62</v>
      </c>
      <c r="B63" s="1">
        <v>2.6916699999999998</v>
      </c>
      <c r="C63" s="1">
        <f t="shared" si="0"/>
        <v>0.99016181882993659</v>
      </c>
      <c r="F63" s="1">
        <f t="shared" si="1"/>
        <v>9.9716539412153224</v>
      </c>
    </row>
    <row r="64" spans="1:6" x14ac:dyDescent="0.25">
      <c r="A64">
        <v>63</v>
      </c>
      <c r="B64" s="1">
        <v>2.6875</v>
      </c>
      <c r="C64" s="1">
        <f t="shared" si="0"/>
        <v>0.98861139345378124</v>
      </c>
      <c r="F64" s="1">
        <f t="shared" si="1"/>
        <v>10.002622541530217</v>
      </c>
    </row>
    <row r="65" spans="1:6" x14ac:dyDescent="0.25">
      <c r="A65">
        <v>64</v>
      </c>
      <c r="B65" s="1">
        <v>2.6916699999999998</v>
      </c>
      <c r="C65" s="1">
        <f t="shared" si="0"/>
        <v>0.99016181882993659</v>
      </c>
      <c r="F65" s="1">
        <f t="shared" si="1"/>
        <v>9.9716539412153224</v>
      </c>
    </row>
    <row r="66" spans="1:6" x14ac:dyDescent="0.25">
      <c r="A66">
        <v>65</v>
      </c>
      <c r="B66" s="1">
        <v>2.6875</v>
      </c>
      <c r="C66" s="1">
        <f t="shared" si="0"/>
        <v>0.98861139345378124</v>
      </c>
      <c r="F66" s="1">
        <f t="shared" si="1"/>
        <v>10.002622541530217</v>
      </c>
    </row>
    <row r="67" spans="1:6" x14ac:dyDescent="0.25">
      <c r="A67">
        <v>66</v>
      </c>
      <c r="B67" s="1">
        <v>2.6875</v>
      </c>
      <c r="C67" s="1">
        <f t="shared" ref="C67:C109" si="2">LN(B67)</f>
        <v>0.98861139345378124</v>
      </c>
      <c r="F67" s="1">
        <f t="shared" ref="F67:F109" si="3">4*PI()^2*1.83/B67^2</f>
        <v>10.002622541530217</v>
      </c>
    </row>
    <row r="68" spans="1:6" x14ac:dyDescent="0.25">
      <c r="A68">
        <v>67</v>
      </c>
      <c r="B68" s="1">
        <v>2.6916699999999998</v>
      </c>
      <c r="C68" s="1">
        <f t="shared" si="2"/>
        <v>0.99016181882993659</v>
      </c>
      <c r="F68" s="1">
        <f t="shared" si="3"/>
        <v>9.9716539412153224</v>
      </c>
    </row>
    <row r="69" spans="1:6" x14ac:dyDescent="0.25">
      <c r="A69">
        <v>68</v>
      </c>
      <c r="B69" s="1">
        <v>2.6875</v>
      </c>
      <c r="C69" s="1">
        <f t="shared" si="2"/>
        <v>0.98861139345378124</v>
      </c>
      <c r="F69" s="1">
        <f t="shared" si="3"/>
        <v>10.002622541530217</v>
      </c>
    </row>
    <row r="70" spans="1:6" x14ac:dyDescent="0.25">
      <c r="A70">
        <v>69</v>
      </c>
      <c r="B70" s="1">
        <v>2.6791700000000001</v>
      </c>
      <c r="C70" s="1">
        <f t="shared" si="2"/>
        <v>0.98550704506281683</v>
      </c>
      <c r="F70" s="1">
        <f t="shared" si="3"/>
        <v>10.064918981651955</v>
      </c>
    </row>
    <row r="71" spans="1:6" x14ac:dyDescent="0.25">
      <c r="A71">
        <v>70</v>
      </c>
      <c r="B71" s="1">
        <v>2.6875</v>
      </c>
      <c r="C71" s="1">
        <f t="shared" si="2"/>
        <v>0.98861139345378124</v>
      </c>
      <c r="F71" s="1">
        <f t="shared" si="3"/>
        <v>10.002622541530217</v>
      </c>
    </row>
    <row r="72" spans="1:6" x14ac:dyDescent="0.25">
      <c r="A72">
        <v>71</v>
      </c>
      <c r="B72" s="1">
        <v>2.6833300000000002</v>
      </c>
      <c r="C72" s="1">
        <f t="shared" si="2"/>
        <v>0.98705856052556595</v>
      </c>
      <c r="F72" s="1">
        <f t="shared" si="3"/>
        <v>10.033735633257983</v>
      </c>
    </row>
    <row r="73" spans="1:6" x14ac:dyDescent="0.25">
      <c r="A73">
        <v>72</v>
      </c>
      <c r="B73" s="1">
        <v>2.6916699999999998</v>
      </c>
      <c r="C73" s="1">
        <f t="shared" si="2"/>
        <v>0.99016181882993659</v>
      </c>
      <c r="F73" s="1">
        <f t="shared" si="3"/>
        <v>9.9716539412153224</v>
      </c>
    </row>
    <row r="74" spans="1:6" x14ac:dyDescent="0.25">
      <c r="A74">
        <v>73</v>
      </c>
      <c r="B74" s="1">
        <v>2.6875</v>
      </c>
      <c r="C74" s="1">
        <f t="shared" si="2"/>
        <v>0.98861139345378124</v>
      </c>
      <c r="F74" s="1">
        <f t="shared" si="3"/>
        <v>10.002622541530217</v>
      </c>
    </row>
    <row r="75" spans="1:6" x14ac:dyDescent="0.25">
      <c r="A75">
        <v>74</v>
      </c>
      <c r="B75" s="1">
        <v>2.6791700000000001</v>
      </c>
      <c r="C75" s="1">
        <f t="shared" si="2"/>
        <v>0.98550704506281683</v>
      </c>
      <c r="F75" s="1">
        <f t="shared" si="3"/>
        <v>10.064918981651955</v>
      </c>
    </row>
    <row r="76" spans="1:6" x14ac:dyDescent="0.25">
      <c r="A76">
        <v>75</v>
      </c>
      <c r="B76" s="1">
        <v>2.6916699999999998</v>
      </c>
      <c r="C76" s="1">
        <f t="shared" si="2"/>
        <v>0.99016181882993659</v>
      </c>
      <c r="F76" s="1">
        <f t="shared" si="3"/>
        <v>9.9716539412153224</v>
      </c>
    </row>
    <row r="77" spans="1:6" x14ac:dyDescent="0.25">
      <c r="A77">
        <v>76</v>
      </c>
      <c r="B77" s="1">
        <v>2.6791700000000001</v>
      </c>
      <c r="C77" s="1">
        <f t="shared" si="2"/>
        <v>0.98550704506281683</v>
      </c>
      <c r="F77" s="1">
        <f t="shared" si="3"/>
        <v>10.064918981651955</v>
      </c>
    </row>
    <row r="78" spans="1:6" x14ac:dyDescent="0.25">
      <c r="A78">
        <v>77</v>
      </c>
      <c r="B78" s="1">
        <v>2.6833300000000002</v>
      </c>
      <c r="C78" s="1">
        <f t="shared" si="2"/>
        <v>0.98705856052556595</v>
      </c>
      <c r="F78" s="1">
        <f t="shared" si="3"/>
        <v>10.033735633257983</v>
      </c>
    </row>
    <row r="79" spans="1:6" x14ac:dyDescent="0.25">
      <c r="A79">
        <v>78</v>
      </c>
      <c r="B79" s="1">
        <v>2.6916699999999998</v>
      </c>
      <c r="C79" s="1">
        <f t="shared" si="2"/>
        <v>0.99016181882993659</v>
      </c>
      <c r="F79" s="1">
        <f t="shared" si="3"/>
        <v>9.9716539412153224</v>
      </c>
    </row>
    <row r="80" spans="1:6" x14ac:dyDescent="0.25">
      <c r="A80">
        <v>79</v>
      </c>
      <c r="B80" s="1">
        <v>2.6749999999999998</v>
      </c>
      <c r="C80" s="1">
        <f t="shared" si="2"/>
        <v>0.98394938034796975</v>
      </c>
      <c r="F80" s="1">
        <f t="shared" si="3"/>
        <v>10.096323412137181</v>
      </c>
    </row>
    <row r="81" spans="1:6" x14ac:dyDescent="0.25">
      <c r="A81">
        <v>80</v>
      </c>
      <c r="B81" s="1">
        <v>2.6833300000000002</v>
      </c>
      <c r="C81" s="1">
        <f t="shared" si="2"/>
        <v>0.98705856052556595</v>
      </c>
      <c r="F81" s="1">
        <f t="shared" si="3"/>
        <v>10.033735633257983</v>
      </c>
    </row>
    <row r="82" spans="1:6" x14ac:dyDescent="0.25">
      <c r="A82">
        <v>81</v>
      </c>
      <c r="B82" s="1">
        <v>2.6833300000000002</v>
      </c>
      <c r="C82" s="1">
        <f t="shared" si="2"/>
        <v>0.98705856052556595</v>
      </c>
      <c r="F82" s="1">
        <f t="shared" si="3"/>
        <v>10.033735633257983</v>
      </c>
    </row>
    <row r="83" spans="1:6" x14ac:dyDescent="0.25">
      <c r="A83">
        <v>82</v>
      </c>
      <c r="B83" s="1">
        <v>2.6833300000000002</v>
      </c>
      <c r="C83" s="1">
        <f t="shared" si="2"/>
        <v>0.98705856052556595</v>
      </c>
      <c r="F83" s="1">
        <f t="shared" si="3"/>
        <v>10.033735633257983</v>
      </c>
    </row>
    <row r="84" spans="1:6" x14ac:dyDescent="0.25">
      <c r="A84">
        <v>83</v>
      </c>
      <c r="B84" s="1">
        <v>2.6791700000000001</v>
      </c>
      <c r="C84" s="1">
        <f t="shared" si="2"/>
        <v>0.98550704506281683</v>
      </c>
      <c r="F84" s="1">
        <f t="shared" si="3"/>
        <v>10.064918981651955</v>
      </c>
    </row>
    <row r="85" spans="1:6" x14ac:dyDescent="0.25">
      <c r="A85">
        <v>84</v>
      </c>
      <c r="B85" s="1">
        <v>2.6833300000000002</v>
      </c>
      <c r="C85" s="1">
        <f t="shared" si="2"/>
        <v>0.98705856052556595</v>
      </c>
      <c r="F85" s="1">
        <f t="shared" si="3"/>
        <v>10.033735633257983</v>
      </c>
    </row>
    <row r="86" spans="1:6" x14ac:dyDescent="0.25">
      <c r="A86">
        <v>85</v>
      </c>
      <c r="B86" s="1">
        <v>2.6833300000000002</v>
      </c>
      <c r="C86" s="1">
        <f t="shared" si="2"/>
        <v>0.98705856052556595</v>
      </c>
      <c r="F86" s="1">
        <f t="shared" si="3"/>
        <v>10.033735633257983</v>
      </c>
    </row>
    <row r="87" spans="1:6" x14ac:dyDescent="0.25">
      <c r="A87">
        <v>86</v>
      </c>
      <c r="B87" s="1">
        <v>2.6833300000000002</v>
      </c>
      <c r="C87" s="1">
        <f t="shared" si="2"/>
        <v>0.98705856052556595</v>
      </c>
      <c r="F87" s="1">
        <f t="shared" si="3"/>
        <v>10.033735633257983</v>
      </c>
    </row>
    <row r="88" spans="1:6" x14ac:dyDescent="0.25">
      <c r="A88">
        <v>87</v>
      </c>
      <c r="B88" s="1">
        <v>2.6749999999999998</v>
      </c>
      <c r="C88" s="1">
        <f t="shared" si="2"/>
        <v>0.98394938034796975</v>
      </c>
      <c r="F88" s="1">
        <f t="shared" si="3"/>
        <v>10.096323412137181</v>
      </c>
    </row>
    <row r="89" spans="1:6" x14ac:dyDescent="0.25">
      <c r="A89">
        <v>88</v>
      </c>
      <c r="B89" s="1">
        <v>2.67083</v>
      </c>
      <c r="C89" s="1">
        <f t="shared" si="2"/>
        <v>0.98238928552797788</v>
      </c>
      <c r="F89" s="1">
        <f t="shared" si="3"/>
        <v>10.127875053804585</v>
      </c>
    </row>
    <row r="90" spans="1:6" x14ac:dyDescent="0.25">
      <c r="A90">
        <v>89</v>
      </c>
      <c r="B90" s="1">
        <v>2.67083</v>
      </c>
      <c r="C90" s="1">
        <f t="shared" si="2"/>
        <v>0.98238928552797788</v>
      </c>
      <c r="F90" s="1">
        <f t="shared" si="3"/>
        <v>10.127875053804585</v>
      </c>
    </row>
    <row r="91" spans="1:6" x14ac:dyDescent="0.25">
      <c r="A91">
        <v>90</v>
      </c>
      <c r="B91" s="1">
        <v>2.6666699999999999</v>
      </c>
      <c r="C91" s="1">
        <f t="shared" si="2"/>
        <v>0.98083050301094499</v>
      </c>
      <c r="F91" s="1">
        <f t="shared" si="3"/>
        <v>10.159498631608907</v>
      </c>
    </row>
    <row r="92" spans="1:6" x14ac:dyDescent="0.25">
      <c r="A92">
        <v>91</v>
      </c>
      <c r="B92" s="1">
        <v>2.6666699999999999</v>
      </c>
      <c r="C92" s="1">
        <f t="shared" si="2"/>
        <v>0.98083050301094499</v>
      </c>
      <c r="F92" s="1">
        <f t="shared" si="3"/>
        <v>10.159498631608907</v>
      </c>
    </row>
    <row r="93" spans="1:6" x14ac:dyDescent="0.25">
      <c r="A93">
        <v>92</v>
      </c>
      <c r="B93" s="1">
        <v>2.67083</v>
      </c>
      <c r="C93" s="1">
        <f t="shared" si="2"/>
        <v>0.98238928552797788</v>
      </c>
      <c r="F93" s="1">
        <f t="shared" si="3"/>
        <v>10.127875053804585</v>
      </c>
    </row>
    <row r="94" spans="1:6" x14ac:dyDescent="0.25">
      <c r="A94">
        <v>93</v>
      </c>
      <c r="B94" s="1">
        <v>2.6666699999999999</v>
      </c>
      <c r="C94" s="1">
        <f t="shared" si="2"/>
        <v>0.98083050301094499</v>
      </c>
      <c r="F94" s="1">
        <f t="shared" si="3"/>
        <v>10.159498631608907</v>
      </c>
    </row>
    <row r="95" spans="1:6" x14ac:dyDescent="0.25">
      <c r="A95">
        <v>94</v>
      </c>
      <c r="B95" s="1">
        <v>2.6666699999999999</v>
      </c>
      <c r="C95" s="1">
        <f t="shared" si="2"/>
        <v>0.98083050301094499</v>
      </c>
      <c r="F95" s="1">
        <f t="shared" si="3"/>
        <v>10.159498631608907</v>
      </c>
    </row>
    <row r="96" spans="1:6" x14ac:dyDescent="0.25">
      <c r="A96">
        <v>95</v>
      </c>
      <c r="B96" s="1">
        <v>2.6666699999999999</v>
      </c>
      <c r="C96" s="1">
        <f t="shared" si="2"/>
        <v>0.98083050301094499</v>
      </c>
      <c r="F96" s="1">
        <f t="shared" si="3"/>
        <v>10.159498631608907</v>
      </c>
    </row>
    <row r="97" spans="1:6" x14ac:dyDescent="0.25">
      <c r="A97">
        <v>96</v>
      </c>
      <c r="B97" s="1">
        <v>2.67083</v>
      </c>
      <c r="C97" s="1">
        <f t="shared" si="2"/>
        <v>0.98238928552797788</v>
      </c>
      <c r="F97" s="1">
        <f t="shared" si="3"/>
        <v>10.127875053804585</v>
      </c>
    </row>
    <row r="98" spans="1:6" x14ac:dyDescent="0.25">
      <c r="A98">
        <v>97</v>
      </c>
      <c r="B98" s="1">
        <v>2.67083</v>
      </c>
      <c r="C98" s="1">
        <f t="shared" si="2"/>
        <v>0.98238928552797788</v>
      </c>
      <c r="F98" s="1">
        <f t="shared" si="3"/>
        <v>10.127875053804585</v>
      </c>
    </row>
    <row r="99" spans="1:6" x14ac:dyDescent="0.25">
      <c r="A99">
        <v>98</v>
      </c>
      <c r="B99" s="1">
        <v>2.6749999999999998</v>
      </c>
      <c r="C99" s="1">
        <f t="shared" si="2"/>
        <v>0.98394938034796975</v>
      </c>
      <c r="F99" s="1">
        <f t="shared" si="3"/>
        <v>10.096323412137181</v>
      </c>
    </row>
    <row r="100" spans="1:6" x14ac:dyDescent="0.25">
      <c r="A100">
        <v>99</v>
      </c>
      <c r="B100" s="1">
        <v>2.6749999999999998</v>
      </c>
      <c r="C100" s="1">
        <f t="shared" si="2"/>
        <v>0.98394938034796975</v>
      </c>
      <c r="F100" s="1">
        <f t="shared" si="3"/>
        <v>10.096323412137181</v>
      </c>
    </row>
    <row r="101" spans="1:6" x14ac:dyDescent="0.25">
      <c r="A101">
        <v>100</v>
      </c>
      <c r="B101" s="1">
        <v>2.6749999999999998</v>
      </c>
      <c r="C101" s="1">
        <f t="shared" si="2"/>
        <v>0.98394938034796975</v>
      </c>
      <c r="F101" s="1">
        <f t="shared" si="3"/>
        <v>10.096323412137181</v>
      </c>
    </row>
    <row r="102" spans="1:6" x14ac:dyDescent="0.25">
      <c r="A102">
        <v>101</v>
      </c>
      <c r="B102" s="1">
        <v>2.6666699999999999</v>
      </c>
      <c r="C102" s="1">
        <f t="shared" si="2"/>
        <v>0.98083050301094499</v>
      </c>
      <c r="F102" s="1">
        <f t="shared" si="3"/>
        <v>10.159498631608907</v>
      </c>
    </row>
    <row r="103" spans="1:6" x14ac:dyDescent="0.25">
      <c r="A103">
        <v>102</v>
      </c>
      <c r="B103" s="1">
        <v>2.6625000000000001</v>
      </c>
      <c r="C103" s="1">
        <f t="shared" si="2"/>
        <v>0.97926553103554348</v>
      </c>
      <c r="F103" s="1">
        <f t="shared" si="3"/>
        <v>10.191347108868042</v>
      </c>
    </row>
    <row r="104" spans="1:6" x14ac:dyDescent="0.25">
      <c r="A104">
        <v>103</v>
      </c>
      <c r="B104" s="1">
        <v>2.67083</v>
      </c>
      <c r="C104" s="1">
        <f t="shared" si="2"/>
        <v>0.98238928552797788</v>
      </c>
      <c r="F104" s="1">
        <f t="shared" si="3"/>
        <v>10.127875053804585</v>
      </c>
    </row>
    <row r="105" spans="1:6" x14ac:dyDescent="0.25">
      <c r="A105">
        <v>104</v>
      </c>
      <c r="B105" s="1">
        <v>2.6666699999999999</v>
      </c>
      <c r="C105" s="1">
        <f t="shared" si="2"/>
        <v>0.98083050301094499</v>
      </c>
      <c r="F105" s="1">
        <f t="shared" si="3"/>
        <v>10.159498631608907</v>
      </c>
    </row>
    <row r="106" spans="1:6" x14ac:dyDescent="0.25">
      <c r="A106">
        <v>105</v>
      </c>
      <c r="B106" s="1">
        <v>2.67083</v>
      </c>
      <c r="C106" s="1">
        <f t="shared" si="2"/>
        <v>0.98238928552797788</v>
      </c>
      <c r="F106" s="1">
        <f t="shared" si="3"/>
        <v>10.127875053804585</v>
      </c>
    </row>
    <row r="107" spans="1:6" x14ac:dyDescent="0.25">
      <c r="A107">
        <v>106</v>
      </c>
      <c r="B107" s="1">
        <v>2.6625000000000001</v>
      </c>
      <c r="C107" s="1">
        <f t="shared" si="2"/>
        <v>0.97926553103554348</v>
      </c>
      <c r="F107" s="1">
        <f t="shared" si="3"/>
        <v>10.191347108868042</v>
      </c>
    </row>
    <row r="108" spans="1:6" x14ac:dyDescent="0.25">
      <c r="A108">
        <v>107</v>
      </c>
      <c r="B108" s="1">
        <v>2.6625000000000001</v>
      </c>
      <c r="C108" s="1">
        <f t="shared" si="2"/>
        <v>0.97926553103554348</v>
      </c>
      <c r="F108" s="1">
        <f t="shared" si="3"/>
        <v>10.191347108868042</v>
      </c>
    </row>
    <row r="109" spans="1:6" x14ac:dyDescent="0.25">
      <c r="A109">
        <v>108</v>
      </c>
      <c r="B109" s="1">
        <v>2.6625000000000001</v>
      </c>
      <c r="C109" s="1">
        <f t="shared" si="2"/>
        <v>0.97926553103554348</v>
      </c>
      <c r="F109" s="1">
        <f t="shared" si="3"/>
        <v>10.191347108868042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2dc250cf, 7d481309</dc:creator>
  <cp:lastModifiedBy>2dc250cf, 7d481309</cp:lastModifiedBy>
  <dcterms:created xsi:type="dcterms:W3CDTF">2025-11-16T01:49:44Z</dcterms:created>
  <dcterms:modified xsi:type="dcterms:W3CDTF">2025-11-16T21:21:32Z</dcterms:modified>
</cp:coreProperties>
</file>